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ftware\"/>
    </mc:Choice>
  </mc:AlternateContent>
  <xr:revisionPtr revIDLastSave="0" documentId="8_{25FB59BE-5098-4C02-BE5D-6FC87A3AC9A7}" xr6:coauthVersionLast="47" xr6:coauthVersionMax="47" xr10:uidLastSave="{00000000-0000-0000-0000-000000000000}"/>
  <bookViews>
    <workbookView xWindow="-107" yWindow="-107" windowWidth="20847" windowHeight="11100" xr2:uid="{32DA0F92-1FEA-4036-A39E-99738EF556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5" i="1"/>
  <c r="D8" i="1"/>
  <c r="D9" i="1"/>
  <c r="D12" i="1"/>
  <c r="D11" i="1"/>
  <c r="D10" i="1"/>
  <c r="A19" i="1"/>
  <c r="A7" i="1"/>
  <c r="A8" i="1"/>
  <c r="A9" i="1"/>
  <c r="A10" i="1"/>
  <c r="A11" i="1" s="1"/>
  <c r="A12" i="1" s="1"/>
  <c r="A13" i="1" s="1"/>
  <c r="A14" i="1" s="1"/>
  <c r="A15" i="1" s="1"/>
  <c r="A16" i="1" s="1"/>
  <c r="A17" i="1" s="1"/>
  <c r="A18" i="1" s="1"/>
  <c r="A6" i="1"/>
</calcChain>
</file>

<file path=xl/sharedStrings.xml><?xml version="1.0" encoding="utf-8"?>
<sst xmlns="http://schemas.openxmlformats.org/spreadsheetml/2006/main" count="21" uniqueCount="21">
  <si>
    <t>Lista de Materiais - Kit</t>
  </si>
  <si>
    <t>Item</t>
  </si>
  <si>
    <t>Descrição</t>
  </si>
  <si>
    <t>Quantidade</t>
  </si>
  <si>
    <t>Valor Unitário</t>
  </si>
  <si>
    <t>Total</t>
  </si>
  <si>
    <t>Saco Grande</t>
  </si>
  <si>
    <t>Saco Pequeno</t>
  </si>
  <si>
    <t>Isopor</t>
  </si>
  <si>
    <t>Gelo</t>
  </si>
  <si>
    <t>Álcool</t>
  </si>
  <si>
    <t>Suporte Seringa</t>
  </si>
  <si>
    <t>Seringa</t>
  </si>
  <si>
    <t>Fita Métrica</t>
  </si>
  <si>
    <t>Lacre Isopor</t>
  </si>
  <si>
    <t>Lacre Saco</t>
  </si>
  <si>
    <t>Parabens</t>
  </si>
  <si>
    <t>Adesivo Prata</t>
  </si>
  <si>
    <t>Cartão Visita</t>
  </si>
  <si>
    <t>Garrafa Térmica</t>
  </si>
  <si>
    <t>Balança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</si>
</sst>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7E1F-DD2F-46C8-BFA8-5A570AB7CDBC}">
  <dimension ref="A1:E20"/>
  <sheetViews>
    <sheetView tabSelected="1" workbookViewId="0">
      <selection activeCell="E21" sqref="E21"/>
    </sheetView>
  </sheetViews>
  <sheetFormatPr defaultRowHeight="14" x14ac:dyDescent="0.3"/>
  <cols>
    <col min="1" max="1" width="12" style="1" customWidth="1"/>
    <col min="2" max="2" width="14" style="1" bestFit="1" customWidth="1"/>
    <col min="3" max="3" width="12" style="1" customWidth="1"/>
    <col min="4" max="5" width="12" style="2" customWidth="1"/>
  </cols>
  <sheetData>
    <row r="1" spans="1:5" x14ac:dyDescent="0.3">
      <c r="A1" s="1" t="s">
        <v>0</v>
      </c>
    </row>
    <row r="4" spans="1:5" x14ac:dyDescent="0.3">
      <c r="A4" s="1" t="s">
        <v>1</v>
      </c>
      <c r="B4" s="1" t="s">
        <v>2</v>
      </c>
      <c r="C4" s="1" t="s">
        <v>3</v>
      </c>
      <c r="D4" s="2" t="s">
        <v>4</v>
      </c>
      <c r="E4" s="2" t="s">
        <v>5</v>
      </c>
    </row>
    <row r="5" spans="1:5" x14ac:dyDescent="0.3">
      <c r="A5" s="1">
        <v>1</v>
      </c>
      <c r="B5" s="1" t="s">
        <v>6</v>
      </c>
      <c r="C5" s="1">
        <v>1</v>
      </c>
      <c r="D5" s="2">
        <v>2.2000000000000002</v>
      </c>
      <c r="E5" s="2">
        <f>C5*D5</f>
        <v>2.2000000000000002</v>
      </c>
    </row>
    <row r="6" spans="1:5" x14ac:dyDescent="0.3">
      <c r="A6" s="1">
        <f>A5+1</f>
        <v>2</v>
      </c>
      <c r="B6" s="1" t="s">
        <v>7</v>
      </c>
      <c r="C6" s="1">
        <v>1</v>
      </c>
      <c r="D6" s="2">
        <v>0.8</v>
      </c>
      <c r="E6" s="2">
        <f t="shared" ref="E6:E19" si="0">C6*D6</f>
        <v>0.8</v>
      </c>
    </row>
    <row r="7" spans="1:5" x14ac:dyDescent="0.3">
      <c r="A7" s="1">
        <f t="shared" ref="A7:A19" si="1">A6+1</f>
        <v>3</v>
      </c>
      <c r="B7" s="1" t="s">
        <v>8</v>
      </c>
      <c r="C7" s="1">
        <v>1</v>
      </c>
      <c r="D7" s="2">
        <v>4.2</v>
      </c>
      <c r="E7" s="2">
        <f t="shared" si="0"/>
        <v>4.2</v>
      </c>
    </row>
    <row r="8" spans="1:5" x14ac:dyDescent="0.3">
      <c r="A8" s="1">
        <f t="shared" si="1"/>
        <v>4</v>
      </c>
      <c r="B8" s="1" t="s">
        <v>9</v>
      </c>
      <c r="C8" s="1">
        <v>2</v>
      </c>
      <c r="D8" s="2">
        <f>60/50</f>
        <v>1.2</v>
      </c>
      <c r="E8" s="2">
        <f t="shared" si="0"/>
        <v>2.4</v>
      </c>
    </row>
    <row r="9" spans="1:5" x14ac:dyDescent="0.3">
      <c r="A9" s="1">
        <f t="shared" si="1"/>
        <v>5</v>
      </c>
      <c r="B9" s="1" t="s">
        <v>10</v>
      </c>
      <c r="C9" s="1">
        <v>1</v>
      </c>
      <c r="D9" s="2">
        <f>54.88/20</f>
        <v>2.7440000000000002</v>
      </c>
      <c r="E9" s="2">
        <f t="shared" si="0"/>
        <v>2.7440000000000002</v>
      </c>
    </row>
    <row r="10" spans="1:5" x14ac:dyDescent="0.3">
      <c r="A10" s="1">
        <f t="shared" si="1"/>
        <v>6</v>
      </c>
      <c r="B10" s="1" t="s">
        <v>11</v>
      </c>
      <c r="C10" s="1">
        <v>4</v>
      </c>
      <c r="D10" s="2">
        <f>19/40</f>
        <v>0.47499999999999998</v>
      </c>
      <c r="E10" s="2">
        <f t="shared" si="0"/>
        <v>1.9</v>
      </c>
    </row>
    <row r="11" spans="1:5" x14ac:dyDescent="0.3">
      <c r="A11" s="1">
        <f t="shared" si="1"/>
        <v>7</v>
      </c>
      <c r="B11" s="1" t="s">
        <v>12</v>
      </c>
      <c r="C11" s="1">
        <v>4</v>
      </c>
      <c r="D11" s="2">
        <f>212.89/100</f>
        <v>2.1288999999999998</v>
      </c>
      <c r="E11" s="2">
        <f t="shared" si="0"/>
        <v>8.5155999999999992</v>
      </c>
    </row>
    <row r="12" spans="1:5" x14ac:dyDescent="0.3">
      <c r="A12" s="1">
        <f t="shared" si="1"/>
        <v>8</v>
      </c>
      <c r="B12" s="1" t="s">
        <v>13</v>
      </c>
      <c r="C12" s="1">
        <v>1</v>
      </c>
      <c r="D12" s="2">
        <f>26/12</f>
        <v>2.1666666666666665</v>
      </c>
      <c r="E12" s="2">
        <f t="shared" si="0"/>
        <v>2.1666666666666665</v>
      </c>
    </row>
    <row r="13" spans="1:5" x14ac:dyDescent="0.3">
      <c r="A13" s="1">
        <f t="shared" si="1"/>
        <v>9</v>
      </c>
      <c r="B13" s="1" t="s">
        <v>14</v>
      </c>
      <c r="C13" s="1">
        <v>2</v>
      </c>
      <c r="D13" s="2">
        <v>1.37</v>
      </c>
      <c r="E13" s="2">
        <f t="shared" si="0"/>
        <v>2.74</v>
      </c>
    </row>
    <row r="14" spans="1:5" x14ac:dyDescent="0.3">
      <c r="A14" s="1">
        <f t="shared" si="1"/>
        <v>10</v>
      </c>
      <c r="B14" s="1" t="s">
        <v>15</v>
      </c>
      <c r="C14" s="1">
        <v>1</v>
      </c>
      <c r="D14" s="2">
        <v>1.37</v>
      </c>
      <c r="E14" s="2">
        <f t="shared" si="0"/>
        <v>1.37</v>
      </c>
    </row>
    <row r="15" spans="1:5" x14ac:dyDescent="0.3">
      <c r="A15" s="1">
        <f t="shared" si="1"/>
        <v>11</v>
      </c>
      <c r="B15" s="1" t="s">
        <v>16</v>
      </c>
      <c r="C15" s="1">
        <v>1</v>
      </c>
      <c r="D15" s="2">
        <v>2.4900000000000002</v>
      </c>
      <c r="E15" s="2">
        <f t="shared" si="0"/>
        <v>2.4900000000000002</v>
      </c>
    </row>
    <row r="16" spans="1:5" x14ac:dyDescent="0.3">
      <c r="A16" s="1">
        <f t="shared" si="1"/>
        <v>12</v>
      </c>
      <c r="B16" s="1" t="s">
        <v>17</v>
      </c>
      <c r="C16" s="1">
        <v>1</v>
      </c>
      <c r="D16" s="2">
        <v>1.1000000000000001</v>
      </c>
      <c r="E16" s="2">
        <f t="shared" si="0"/>
        <v>1.1000000000000001</v>
      </c>
    </row>
    <row r="17" spans="1:5" x14ac:dyDescent="0.3">
      <c r="A17" s="1">
        <f t="shared" si="1"/>
        <v>13</v>
      </c>
      <c r="B17" s="1" t="s">
        <v>18</v>
      </c>
      <c r="C17" s="1">
        <v>5</v>
      </c>
      <c r="D17" s="2">
        <v>0.32</v>
      </c>
      <c r="E17" s="2">
        <f t="shared" si="0"/>
        <v>1.6</v>
      </c>
    </row>
    <row r="18" spans="1:5" x14ac:dyDescent="0.3">
      <c r="A18" s="1">
        <f t="shared" si="1"/>
        <v>14</v>
      </c>
      <c r="B18" s="1" t="s">
        <v>19</v>
      </c>
      <c r="C18" s="1">
        <v>1</v>
      </c>
      <c r="D18" s="2">
        <v>30</v>
      </c>
      <c r="E18" s="2">
        <f t="shared" si="0"/>
        <v>30</v>
      </c>
    </row>
    <row r="19" spans="1:5" x14ac:dyDescent="0.3">
      <c r="A19" s="1">
        <f t="shared" si="1"/>
        <v>15</v>
      </c>
      <c r="B19" s="1" t="s">
        <v>20</v>
      </c>
      <c r="C19" s="1">
        <v>1</v>
      </c>
      <c r="D19" s="2">
        <v>31.13</v>
      </c>
      <c r="E19" s="2">
        <f t="shared" si="0"/>
        <v>31.13</v>
      </c>
    </row>
    <row r="20" spans="1:5" x14ac:dyDescent="0.3">
      <c r="E20" s="2">
        <f>SUM(E5:E19)</f>
        <v>95.35626666666667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Mota</dc:creator>
  <cp:lastModifiedBy>Ricardo Mota</cp:lastModifiedBy>
  <dcterms:created xsi:type="dcterms:W3CDTF">2026-06-23T15:52:50Z</dcterms:created>
  <dcterms:modified xsi:type="dcterms:W3CDTF">2026-06-23T16:00:34Z</dcterms:modified>
</cp:coreProperties>
</file>