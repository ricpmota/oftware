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tware\"/>
    </mc:Choice>
  </mc:AlternateContent>
  <xr:revisionPtr revIDLastSave="0" documentId="8_{1E586B65-013B-4F1F-AEE0-F2DDF05F74BB}" xr6:coauthVersionLast="47" xr6:coauthVersionMax="47" xr10:uidLastSave="{00000000-0000-0000-0000-000000000000}"/>
  <bookViews>
    <workbookView xWindow="-107" yWindow="-107" windowWidth="20847" windowHeight="11100" xr2:uid="{32DA0F92-1FEA-4036-A39E-99738EF556A0}"/>
  </bookViews>
  <sheets>
    <sheet name="Planilha1" sheetId="1" r:id="rId1"/>
    <sheet name="Planilh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" i="1" l="1"/>
  <c r="K14" i="1"/>
  <c r="C6" i="2"/>
  <c r="C5" i="2"/>
  <c r="N13" i="1"/>
  <c r="G6" i="1"/>
  <c r="H6" i="1" s="1"/>
  <c r="G7" i="1"/>
  <c r="H7" i="1" s="1"/>
  <c r="G8" i="1"/>
  <c r="G9" i="1"/>
  <c r="G10" i="1"/>
  <c r="H10" i="1" s="1"/>
  <c r="G11" i="1"/>
  <c r="G12" i="1"/>
  <c r="G13" i="1"/>
  <c r="H13" i="1" s="1"/>
  <c r="G14" i="1"/>
  <c r="G15" i="1"/>
  <c r="G16" i="1"/>
  <c r="H17" i="1"/>
  <c r="H19" i="1"/>
  <c r="G5" i="1"/>
  <c r="H5" i="1" s="1"/>
  <c r="K3" i="1"/>
  <c r="K11" i="1" s="1"/>
  <c r="O5" i="1"/>
  <c r="O7" i="1" s="1"/>
  <c r="O6" i="1"/>
  <c r="H14" i="1"/>
  <c r="H15" i="1"/>
  <c r="H16" i="1"/>
  <c r="H18" i="1"/>
  <c r="H11" i="1"/>
  <c r="E6" i="1"/>
  <c r="E7" i="1"/>
  <c r="E10" i="1"/>
  <c r="E12" i="1"/>
  <c r="E13" i="1"/>
  <c r="E14" i="1"/>
  <c r="E15" i="1"/>
  <c r="E16" i="1"/>
  <c r="E17" i="1"/>
  <c r="E18" i="1"/>
  <c r="E19" i="1"/>
  <c r="E5" i="1"/>
  <c r="D8" i="1"/>
  <c r="D9" i="1"/>
  <c r="D12" i="1"/>
  <c r="H12" i="1" s="1"/>
  <c r="D11" i="1"/>
  <c r="E11" i="1" s="1"/>
  <c r="D10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H9" i="1" l="1"/>
  <c r="H8" i="1"/>
  <c r="H20" i="1" s="1"/>
  <c r="K10" i="1" s="1"/>
  <c r="K12" i="1" s="1"/>
  <c r="K15" i="1" s="1"/>
  <c r="N11" i="1"/>
  <c r="E9" i="1"/>
  <c r="E8" i="1"/>
  <c r="E20" i="1" s="1"/>
  <c r="E21" i="1" s="1"/>
  <c r="N10" i="1" s="1"/>
  <c r="N14" i="1" l="1"/>
  <c r="O14" i="1" s="1"/>
  <c r="K17" i="1"/>
  <c r="K18" i="1" s="1"/>
  <c r="L10" i="1"/>
</calcChain>
</file>

<file path=xl/sharedStrings.xml><?xml version="1.0" encoding="utf-8"?>
<sst xmlns="http://schemas.openxmlformats.org/spreadsheetml/2006/main" count="51" uniqueCount="40">
  <si>
    <t>Lista de Materiais - Kit</t>
  </si>
  <si>
    <t>Item</t>
  </si>
  <si>
    <t>Descrição</t>
  </si>
  <si>
    <t>Quantidade</t>
  </si>
  <si>
    <t>Valor Unitário</t>
  </si>
  <si>
    <t>Total</t>
  </si>
  <si>
    <t>Saco Grande</t>
  </si>
  <si>
    <t>Saco Pequeno</t>
  </si>
  <si>
    <t>Isopor</t>
  </si>
  <si>
    <t>Gelo</t>
  </si>
  <si>
    <t>Álcool</t>
  </si>
  <si>
    <t>Suporte Seringa</t>
  </si>
  <si>
    <t>Seringa</t>
  </si>
  <si>
    <t>Fita Métrica</t>
  </si>
  <si>
    <t>Lacre Isopor</t>
  </si>
  <si>
    <t>Lacre Saco</t>
  </si>
  <si>
    <t>Parabens</t>
  </si>
  <si>
    <t>Adesivo Prata</t>
  </si>
  <si>
    <t>Cartão Visita</t>
  </si>
  <si>
    <t>Garrafa Térmica</t>
  </si>
  <si>
    <t>Balança</t>
  </si>
  <si>
    <t>Vitória</t>
  </si>
  <si>
    <t>Kit</t>
  </si>
  <si>
    <t>Medicação</t>
  </si>
  <si>
    <t>Total Insumo</t>
  </si>
  <si>
    <t>Total Venda</t>
  </si>
  <si>
    <t>Lucro</t>
  </si>
  <si>
    <t>Ricardo</t>
  </si>
  <si>
    <t>Vitóri</t>
  </si>
  <si>
    <t>Estoque</t>
  </si>
  <si>
    <t>Ampola</t>
  </si>
  <si>
    <t>mg</t>
  </si>
  <si>
    <t>Disponível</t>
  </si>
  <si>
    <t>Kit Completo</t>
  </si>
  <si>
    <t>Kit Continuação</t>
  </si>
  <si>
    <t>Kit Cont.</t>
  </si>
  <si>
    <t>Venda</t>
  </si>
  <si>
    <t>R$/mg</t>
  </si>
  <si>
    <t>Kits</t>
  </si>
  <si>
    <t>Venda/mg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</si>
</sst>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1" applyFont="1"/>
    <xf numFmtId="0" fontId="0" fillId="0" borderId="1" xfId="0" applyBorder="1"/>
    <xf numFmtId="44" fontId="0" fillId="0" borderId="1" xfId="0" applyNumberFormat="1" applyBorder="1"/>
    <xf numFmtId="44" fontId="0" fillId="0" borderId="1" xfId="1" applyFont="1" applyBorder="1"/>
    <xf numFmtId="0" fontId="2" fillId="2" borderId="1" xfId="0" applyFont="1" applyFill="1" applyBorder="1"/>
    <xf numFmtId="9" fontId="0" fillId="0" borderId="0" xfId="2" applyFont="1"/>
    <xf numFmtId="9" fontId="0" fillId="0" borderId="0" xfId="2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0"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354CA-D860-46AE-85AE-ECC78E2D7987}" name="Tabela1" displayName="Tabela1" ref="A4:E19" totalsRowShown="0" headerRowDxfId="9" dataDxfId="8">
  <autoFilter ref="A4:E19" xr:uid="{9C4354CA-D860-46AE-85AE-ECC78E2D7987}"/>
  <tableColumns count="5">
    <tableColumn id="1" xr3:uid="{97E4053E-C5FF-4EC3-8941-057B53845457}" name="Item" dataDxfId="7">
      <calculatedColumnFormula>A4+1</calculatedColumnFormula>
    </tableColumn>
    <tableColumn id="2" xr3:uid="{32F034A7-7ECA-416C-8DCF-32203D4A52B9}" name="Descrição" dataDxfId="6"/>
    <tableColumn id="3" xr3:uid="{B23D2F14-FC90-4917-B95E-DF10E08EBB80}" name="Quantidade" dataDxfId="5"/>
    <tableColumn id="4" xr3:uid="{5DF04AA9-76D2-442B-8965-54B604A00342}" name="Valor Unitário" dataDxfId="4" dataCellStyle="Moeda"/>
    <tableColumn id="5" xr3:uid="{BC997538-CD6C-4CCF-AEB0-7E0896681B41}" name="Total" dataDxfId="3" dataCellStyle="Moeda">
      <calculatedColumnFormula>C5*D5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F92F9-B3CB-47AE-BD85-565B9A34D1AB}" name="Tabela2" displayName="Tabela2" ref="G4:H19" totalsRowShown="0" headerRowDxfId="2">
  <autoFilter ref="G4:H19" xr:uid="{0C8F92F9-B3CB-47AE-BD85-565B9A34D1AB}"/>
  <tableColumns count="2">
    <tableColumn id="1" xr3:uid="{A565DB9A-610B-4460-ABAC-3B46583B9E99}" name="Vitória" dataDxfId="1">
      <calculatedColumnFormula>$H$3*Tabela1[[#This Row],[Quantidade]]</calculatedColumnFormula>
    </tableColumn>
    <tableColumn id="2" xr3:uid="{50FB5383-7B8D-41E9-AB58-432F1D00B519}" name="Total" dataDxfId="0">
      <calculatedColumnFormula>G5*Tabela1[[#This Row],[Valor Unitário]]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7E1F-DD2F-46C8-BFA8-5A570AB7CDBC}">
  <dimension ref="A1:P27"/>
  <sheetViews>
    <sheetView showGridLines="0" tabSelected="1" workbookViewId="0">
      <selection activeCell="L22" sqref="L22"/>
    </sheetView>
  </sheetViews>
  <sheetFormatPr defaultRowHeight="14" x14ac:dyDescent="0.3"/>
  <cols>
    <col min="1" max="1" width="12" style="1" customWidth="1"/>
    <col min="2" max="2" width="14" style="1" bestFit="1" customWidth="1"/>
    <col min="3" max="3" width="12.19921875" style="1" customWidth="1"/>
    <col min="4" max="4" width="14.8984375" style="2" customWidth="1"/>
    <col min="5" max="5" width="12" style="2" customWidth="1"/>
    <col min="7" max="7" width="8.796875" style="1"/>
    <col min="8" max="8" width="11.59765625" style="1" bestFit="1" customWidth="1"/>
    <col min="10" max="10" width="11.296875" bestFit="1" customWidth="1"/>
    <col min="11" max="11" width="12.59765625" bestFit="1" customWidth="1"/>
    <col min="13" max="13" width="9.69921875" bestFit="1" customWidth="1"/>
    <col min="14" max="14" width="11.59765625" bestFit="1" customWidth="1"/>
    <col min="16" max="16" width="3.3984375" bestFit="1" customWidth="1"/>
  </cols>
  <sheetData>
    <row r="1" spans="1:16" x14ac:dyDescent="0.3">
      <c r="A1" s="3" t="s">
        <v>0</v>
      </c>
      <c r="J1" t="s">
        <v>30</v>
      </c>
      <c r="K1" s="6">
        <v>2000</v>
      </c>
    </row>
    <row r="2" spans="1:16" x14ac:dyDescent="0.3">
      <c r="J2" t="s">
        <v>31</v>
      </c>
      <c r="K2">
        <v>90</v>
      </c>
    </row>
    <row r="3" spans="1:16" x14ac:dyDescent="0.3">
      <c r="G3" s="1" t="s">
        <v>38</v>
      </c>
      <c r="H3" s="1">
        <v>12</v>
      </c>
      <c r="J3" t="s">
        <v>37</v>
      </c>
      <c r="K3" s="6">
        <f>K1/K2</f>
        <v>22.222222222222221</v>
      </c>
    </row>
    <row r="4" spans="1:16" x14ac:dyDescent="0.3">
      <c r="A4" s="1" t="s">
        <v>1</v>
      </c>
      <c r="B4" s="1" t="s">
        <v>2</v>
      </c>
      <c r="C4" s="1" t="s">
        <v>3</v>
      </c>
      <c r="D4" s="2" t="s">
        <v>4</v>
      </c>
      <c r="E4" s="2" t="s">
        <v>5</v>
      </c>
      <c r="G4" s="1" t="s">
        <v>21</v>
      </c>
      <c r="H4" s="1" t="s">
        <v>5</v>
      </c>
      <c r="M4" s="10" t="s">
        <v>29</v>
      </c>
      <c r="N4" s="10"/>
      <c r="O4" s="13" t="s">
        <v>5</v>
      </c>
      <c r="P4" s="13"/>
    </row>
    <row r="5" spans="1:16" x14ac:dyDescent="0.3">
      <c r="A5" s="1">
        <v>1</v>
      </c>
      <c r="B5" s="1" t="s">
        <v>6</v>
      </c>
      <c r="C5" s="1">
        <v>1</v>
      </c>
      <c r="D5" s="2">
        <v>2.2000000000000002</v>
      </c>
      <c r="E5" s="2">
        <f>C5*D5</f>
        <v>2.2000000000000002</v>
      </c>
      <c r="G5" s="1">
        <f>$H$3*Tabela1[[#This Row],[Quantidade]]</f>
        <v>12</v>
      </c>
      <c r="H5" s="5">
        <f>G5*Tabela1[[#This Row],[Valor Unitário]]</f>
        <v>26.400000000000002</v>
      </c>
      <c r="J5" t="s">
        <v>39</v>
      </c>
      <c r="K5" s="6">
        <v>80</v>
      </c>
      <c r="M5" s="7" t="s">
        <v>30</v>
      </c>
      <c r="N5" s="7">
        <v>2</v>
      </c>
      <c r="O5" s="7">
        <f>N5*90</f>
        <v>180</v>
      </c>
      <c r="P5" s="7" t="s">
        <v>31</v>
      </c>
    </row>
    <row r="6" spans="1:16" x14ac:dyDescent="0.3">
      <c r="A6" s="1">
        <f>A5+1</f>
        <v>2</v>
      </c>
      <c r="B6" s="1" t="s">
        <v>7</v>
      </c>
      <c r="C6" s="1">
        <v>1</v>
      </c>
      <c r="D6" s="2">
        <v>0.8</v>
      </c>
      <c r="E6" s="2">
        <f t="shared" ref="E6:E19" si="0">C6*D6</f>
        <v>0.8</v>
      </c>
      <c r="G6" s="1">
        <f>$H$3*Tabela1[[#This Row],[Quantidade]]</f>
        <v>12</v>
      </c>
      <c r="H6" s="5">
        <f>G6*Tabela1[[#This Row],[Valor Unitário]]</f>
        <v>9.6000000000000014</v>
      </c>
      <c r="M6" s="7" t="s">
        <v>22</v>
      </c>
      <c r="N6" s="7">
        <v>12</v>
      </c>
      <c r="O6" s="7">
        <f>N6*10</f>
        <v>120</v>
      </c>
      <c r="P6" s="7" t="s">
        <v>31</v>
      </c>
    </row>
    <row r="7" spans="1:16" x14ac:dyDescent="0.3">
      <c r="A7" s="1">
        <f t="shared" ref="A7:A19" si="1">A6+1</f>
        <v>3</v>
      </c>
      <c r="B7" s="1" t="s">
        <v>8</v>
      </c>
      <c r="C7" s="1">
        <v>1</v>
      </c>
      <c r="D7" s="2">
        <v>4.2</v>
      </c>
      <c r="E7" s="2">
        <f t="shared" si="0"/>
        <v>4.2</v>
      </c>
      <c r="G7" s="1">
        <f>$H$3*Tabela1[[#This Row],[Quantidade]]</f>
        <v>12</v>
      </c>
      <c r="H7" s="5">
        <f>G7*Tabela1[[#This Row],[Valor Unitário]]</f>
        <v>50.400000000000006</v>
      </c>
      <c r="M7" t="s">
        <v>32</v>
      </c>
      <c r="O7">
        <f>O5-O6</f>
        <v>60</v>
      </c>
      <c r="P7" t="s">
        <v>31</v>
      </c>
    </row>
    <row r="8" spans="1:16" x14ac:dyDescent="0.3">
      <c r="A8" s="1">
        <f t="shared" si="1"/>
        <v>4</v>
      </c>
      <c r="B8" s="1" t="s">
        <v>9</v>
      </c>
      <c r="C8" s="1">
        <v>2</v>
      </c>
      <c r="D8" s="2">
        <f>60/50</f>
        <v>1.2</v>
      </c>
      <c r="E8" s="2">
        <f t="shared" si="0"/>
        <v>2.4</v>
      </c>
      <c r="G8" s="1">
        <f>$H$3*Tabela1[[#This Row],[Quantidade]]</f>
        <v>24</v>
      </c>
      <c r="H8" s="5">
        <f>G8*Tabela1[[#This Row],[Valor Unitário]]</f>
        <v>28.799999999999997</v>
      </c>
    </row>
    <row r="9" spans="1:16" x14ac:dyDescent="0.3">
      <c r="A9" s="1">
        <f t="shared" si="1"/>
        <v>5</v>
      </c>
      <c r="B9" s="1" t="s">
        <v>10</v>
      </c>
      <c r="C9" s="1">
        <v>1</v>
      </c>
      <c r="D9" s="2">
        <f>54.88/20</f>
        <v>2.7440000000000002</v>
      </c>
      <c r="E9" s="2">
        <f t="shared" si="0"/>
        <v>2.7440000000000002</v>
      </c>
      <c r="G9" s="1">
        <f>$H$3*Tabela1[[#This Row],[Quantidade]]</f>
        <v>12</v>
      </c>
      <c r="H9" s="5">
        <f>G9*Tabela1[[#This Row],[Valor Unitário]]</f>
        <v>32.928000000000004</v>
      </c>
      <c r="M9" t="s">
        <v>35</v>
      </c>
      <c r="N9" s="1">
        <v>3</v>
      </c>
      <c r="O9">
        <v>60</v>
      </c>
      <c r="P9" t="s">
        <v>31</v>
      </c>
    </row>
    <row r="10" spans="1:16" x14ac:dyDescent="0.3">
      <c r="A10" s="1">
        <f t="shared" si="1"/>
        <v>6</v>
      </c>
      <c r="B10" s="1" t="s">
        <v>11</v>
      </c>
      <c r="C10" s="1">
        <v>4</v>
      </c>
      <c r="D10" s="2">
        <f>19/40</f>
        <v>0.47499999999999998</v>
      </c>
      <c r="E10" s="2">
        <f t="shared" si="0"/>
        <v>1.9</v>
      </c>
      <c r="G10" s="1">
        <f>$H$3*Tabela1[[#This Row],[Quantidade]]</f>
        <v>48</v>
      </c>
      <c r="H10" s="5">
        <f>G10*Tabela1[[#This Row],[Valor Unitário]]</f>
        <v>22.799999999999997</v>
      </c>
      <c r="J10" s="7" t="s">
        <v>22</v>
      </c>
      <c r="K10" s="8">
        <f>H20</f>
        <v>702.8152</v>
      </c>
      <c r="L10" s="12">
        <f>K15/K14</f>
        <v>0.64901230555555556</v>
      </c>
      <c r="M10" t="s">
        <v>5</v>
      </c>
      <c r="N10" s="4">
        <f>N9*E21</f>
        <v>99.288800000000037</v>
      </c>
    </row>
    <row r="11" spans="1:16" x14ac:dyDescent="0.3">
      <c r="A11" s="1">
        <f t="shared" si="1"/>
        <v>7</v>
      </c>
      <c r="B11" s="1" t="s">
        <v>12</v>
      </c>
      <c r="C11" s="1">
        <v>4</v>
      </c>
      <c r="D11" s="2">
        <f>212.89/100</f>
        <v>2.1288999999999998</v>
      </c>
      <c r="E11" s="2">
        <f t="shared" si="0"/>
        <v>8.5155999999999992</v>
      </c>
      <c r="G11" s="1">
        <f>$H$3*Tabela1[[#This Row],[Quantidade]]</f>
        <v>48</v>
      </c>
      <c r="H11" s="5">
        <f>G11*Tabela1[[#This Row],[Valor Unitário]]</f>
        <v>102.18719999999999</v>
      </c>
      <c r="J11" s="7" t="s">
        <v>23</v>
      </c>
      <c r="K11" s="9">
        <f>K3*10*12</f>
        <v>2666.666666666667</v>
      </c>
      <c r="M11" t="s">
        <v>23</v>
      </c>
      <c r="N11" s="6">
        <f>K3*N9*20</f>
        <v>1333.333333333333</v>
      </c>
    </row>
    <row r="12" spans="1:16" x14ac:dyDescent="0.3">
      <c r="A12" s="1">
        <f t="shared" si="1"/>
        <v>8</v>
      </c>
      <c r="B12" s="1" t="s">
        <v>13</v>
      </c>
      <c r="C12" s="1">
        <v>1</v>
      </c>
      <c r="D12" s="2">
        <f>26/12</f>
        <v>2.1666666666666665</v>
      </c>
      <c r="E12" s="2">
        <f t="shared" si="0"/>
        <v>2.1666666666666665</v>
      </c>
      <c r="G12" s="1">
        <f>$H$3*Tabela1[[#This Row],[Quantidade]]</f>
        <v>12</v>
      </c>
      <c r="H12" s="5">
        <f>G12*Tabela1[[#This Row],[Valor Unitário]]</f>
        <v>26</v>
      </c>
      <c r="J12" t="s">
        <v>24</v>
      </c>
      <c r="K12" s="4">
        <f>SUM(K10:K11)</f>
        <v>3369.481866666667</v>
      </c>
    </row>
    <row r="13" spans="1:16" x14ac:dyDescent="0.3">
      <c r="A13" s="1">
        <f t="shared" si="1"/>
        <v>9</v>
      </c>
      <c r="B13" s="1" t="s">
        <v>14</v>
      </c>
      <c r="C13" s="1">
        <v>2</v>
      </c>
      <c r="D13" s="2">
        <v>1.37</v>
      </c>
      <c r="E13" s="2">
        <f t="shared" si="0"/>
        <v>2.74</v>
      </c>
      <c r="G13" s="1">
        <f>$H$3*Tabela1[[#This Row],[Quantidade]]</f>
        <v>24</v>
      </c>
      <c r="H13" s="5">
        <f>G13*Tabela1[[#This Row],[Valor Unitário]]</f>
        <v>32.880000000000003</v>
      </c>
      <c r="M13" t="s">
        <v>36</v>
      </c>
      <c r="N13" s="6">
        <f>N9*20*K5</f>
        <v>4800</v>
      </c>
    </row>
    <row r="14" spans="1:16" x14ac:dyDescent="0.3">
      <c r="A14" s="1">
        <f t="shared" si="1"/>
        <v>10</v>
      </c>
      <c r="B14" s="1" t="s">
        <v>15</v>
      </c>
      <c r="C14" s="1">
        <v>1</v>
      </c>
      <c r="D14" s="2">
        <v>1.37</v>
      </c>
      <c r="E14" s="2">
        <f t="shared" si="0"/>
        <v>1.37</v>
      </c>
      <c r="G14" s="1">
        <f>$H$3*Tabela1[[#This Row],[Quantidade]]</f>
        <v>12</v>
      </c>
      <c r="H14" s="5">
        <f>G14*Tabela1[[#This Row],[Valor Unitário]]</f>
        <v>16.440000000000001</v>
      </c>
      <c r="J14" s="7" t="s">
        <v>25</v>
      </c>
      <c r="K14" s="9">
        <f>H3*K5*10</f>
        <v>9600</v>
      </c>
      <c r="M14" t="s">
        <v>26</v>
      </c>
      <c r="N14" s="4">
        <f>N13-N11-N10</f>
        <v>3367.3778666666667</v>
      </c>
      <c r="O14" s="11">
        <f>N14/N13</f>
        <v>0.70153705555555557</v>
      </c>
    </row>
    <row r="15" spans="1:16" x14ac:dyDescent="0.3">
      <c r="A15" s="1">
        <f t="shared" si="1"/>
        <v>11</v>
      </c>
      <c r="B15" s="1" t="s">
        <v>16</v>
      </c>
      <c r="C15" s="1">
        <v>1</v>
      </c>
      <c r="D15" s="2">
        <v>2.4900000000000002</v>
      </c>
      <c r="E15" s="2">
        <f t="shared" si="0"/>
        <v>2.4900000000000002</v>
      </c>
      <c r="G15" s="1">
        <f>$H$3*Tabela1[[#This Row],[Quantidade]]</f>
        <v>12</v>
      </c>
      <c r="H15" s="5">
        <f>G15*Tabela1[[#This Row],[Valor Unitário]]</f>
        <v>29.880000000000003</v>
      </c>
      <c r="J15" t="s">
        <v>26</v>
      </c>
      <c r="K15" s="4">
        <f>K14-K12</f>
        <v>6230.518133333333</v>
      </c>
    </row>
    <row r="16" spans="1:16" x14ac:dyDescent="0.3">
      <c r="A16" s="1">
        <f t="shared" si="1"/>
        <v>12</v>
      </c>
      <c r="B16" s="1" t="s">
        <v>17</v>
      </c>
      <c r="C16" s="1">
        <v>1</v>
      </c>
      <c r="D16" s="2">
        <v>1.1000000000000001</v>
      </c>
      <c r="E16" s="2">
        <f t="shared" si="0"/>
        <v>1.1000000000000001</v>
      </c>
      <c r="G16" s="1">
        <f>$H$3*Tabela1[[#This Row],[Quantidade]]</f>
        <v>12</v>
      </c>
      <c r="H16" s="5">
        <f>G16*Tabela1[[#This Row],[Valor Unitário]]</f>
        <v>13.200000000000001</v>
      </c>
    </row>
    <row r="17" spans="1:11" x14ac:dyDescent="0.3">
      <c r="A17" s="1">
        <f t="shared" si="1"/>
        <v>13</v>
      </c>
      <c r="B17" s="1" t="s">
        <v>18</v>
      </c>
      <c r="C17" s="1">
        <v>5</v>
      </c>
      <c r="D17" s="2">
        <v>0.32</v>
      </c>
      <c r="E17" s="2">
        <f t="shared" si="0"/>
        <v>1.6</v>
      </c>
      <c r="G17" s="1">
        <v>0</v>
      </c>
      <c r="H17" s="5">
        <f>G17*Tabela1[[#This Row],[Valor Unitário]]</f>
        <v>0</v>
      </c>
      <c r="J17" s="7" t="s">
        <v>27</v>
      </c>
      <c r="K17" s="8">
        <f>K15/2</f>
        <v>3115.2590666666665</v>
      </c>
    </row>
    <row r="18" spans="1:11" x14ac:dyDescent="0.3">
      <c r="A18" s="1">
        <f t="shared" si="1"/>
        <v>14</v>
      </c>
      <c r="B18" s="1" t="s">
        <v>19</v>
      </c>
      <c r="C18" s="1">
        <v>1</v>
      </c>
      <c r="D18" s="2">
        <v>30</v>
      </c>
      <c r="E18" s="2">
        <f t="shared" si="0"/>
        <v>30</v>
      </c>
      <c r="G18" s="1">
        <v>0</v>
      </c>
      <c r="H18" s="5">
        <f>G18*Tabela1[[#This Row],[Valor Unitário]]</f>
        <v>0</v>
      </c>
      <c r="J18" t="s">
        <v>28</v>
      </c>
      <c r="K18" s="4">
        <f>K17</f>
        <v>3115.2590666666665</v>
      </c>
    </row>
    <row r="19" spans="1:11" x14ac:dyDescent="0.3">
      <c r="A19" s="1">
        <f t="shared" si="1"/>
        <v>15</v>
      </c>
      <c r="B19" s="1" t="s">
        <v>20</v>
      </c>
      <c r="C19" s="1">
        <v>1</v>
      </c>
      <c r="D19" s="2">
        <v>31.13</v>
      </c>
      <c r="E19" s="2">
        <f t="shared" si="0"/>
        <v>31.13</v>
      </c>
      <c r="G19" s="1">
        <v>10</v>
      </c>
      <c r="H19" s="5">
        <f>G19*Tabela1[[#This Row],[Valor Unitário]]</f>
        <v>311.3</v>
      </c>
    </row>
    <row r="20" spans="1:11" x14ac:dyDescent="0.3">
      <c r="B20" s="1" t="s">
        <v>33</v>
      </c>
      <c r="E20" s="2">
        <f>SUM(E5:E19)</f>
        <v>95.35626666666667</v>
      </c>
      <c r="H20" s="5">
        <f>SUM(H5:H19)</f>
        <v>702.8152</v>
      </c>
    </row>
    <row r="21" spans="1:11" x14ac:dyDescent="0.3">
      <c r="B21" s="1" t="s">
        <v>34</v>
      </c>
      <c r="E21" s="2">
        <f>E20-E19-E19</f>
        <v>33.096266666666679</v>
      </c>
    </row>
    <row r="22" spans="1:11" x14ac:dyDescent="0.3">
      <c r="J22">
        <f>4702.82/1600</f>
        <v>2.9392624999999999</v>
      </c>
    </row>
    <row r="24" spans="1:11" x14ac:dyDescent="0.3">
      <c r="K24" s="4"/>
    </row>
    <row r="25" spans="1:11" x14ac:dyDescent="0.3">
      <c r="K25" s="4"/>
    </row>
    <row r="26" spans="1:11" x14ac:dyDescent="0.3">
      <c r="K26" s="4"/>
    </row>
    <row r="27" spans="1:11" x14ac:dyDescent="0.3">
      <c r="K27" s="4"/>
    </row>
  </sheetData>
  <mergeCells count="1">
    <mergeCell ref="O4:P4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2197-6304-4F31-B308-EFC857DCFDBA}">
  <dimension ref="C4:C6"/>
  <sheetViews>
    <sheetView workbookViewId="0">
      <selection activeCell="C7" sqref="C7"/>
    </sheetView>
  </sheetViews>
  <sheetFormatPr defaultRowHeight="14" x14ac:dyDescent="0.3"/>
  <sheetData>
    <row r="4" spans="3:3" x14ac:dyDescent="0.3">
      <c r="C4">
        <v>1600</v>
      </c>
    </row>
    <row r="5" spans="3:3" x14ac:dyDescent="0.3">
      <c r="C5">
        <f>35000/C4</f>
        <v>21.875</v>
      </c>
    </row>
    <row r="6" spans="3:3" x14ac:dyDescent="0.3">
      <c r="C6">
        <f>C5/4</f>
        <v>5.46875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Mota</dc:creator>
  <cp:lastModifiedBy>Ricardo Mota</cp:lastModifiedBy>
  <dcterms:created xsi:type="dcterms:W3CDTF">2026-06-23T15:52:50Z</dcterms:created>
  <dcterms:modified xsi:type="dcterms:W3CDTF">2026-07-03T01:23:19Z</dcterms:modified>
</cp:coreProperties>
</file>